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2214bbbc648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oevaluación" sheetId="1" r:id="R82ff1ec2af30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%"/>
    <x:numFmt numFmtId="202" formatCode="0.00%"/>
  </x:numFmts>
  <x:fonts count="15">
    <x:font>
      <x:sz val="11"/>
      <x:name val="Carlito"/>
    </x:font>
    <x:font>
      <x:sz val="10"/>
      <x:color rgb="FF1F2937"/>
      <x:name val="Arial"/>
    </x:font>
    <x:font>
      <x:b/>
      <x:sz val="16"/>
      <x:color rgb="FF17324D"/>
      <x:name val="Arial"/>
    </x:font>
    <x:font>
      <x:b/>
      <x:sz val="11"/>
      <x:color rgb="FFE65327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b/>
      <x:sz val="14"/>
      <x:color rgb="FF17324D"/>
      <x:name val="Arial"/>
    </x:font>
    <x:font>
      <x:i/>
      <x:sz val="9"/>
      <x:color rgb="FF1F2937"/>
      <x:name val="Arial"/>
    </x:font>
    <x:font>
      <x:b/>
      <x:i/>
      <x:sz val="9"/>
      <x:color rgb="FFE65327"/>
      <x:name val="Arial"/>
    </x:font>
    <x:font>
      <x:b/>
      <x:sz val="9"/>
      <x:color rgb="FF667085"/>
      <x:name val="Arial"/>
    </x:font>
    <x:font>
      <x:b/>
      <x:i/>
      <x:sz val="9"/>
      <x:color rgb="FF667085"/>
      <x:name val="Arial"/>
    </x:font>
    <x:font>
      <x:b/>
      <x:sz val="10"/>
      <x:color rgb="FF1F2937"/>
      <x:name val="Arial"/>
    </x:font>
    <x:font>
      <x:b/>
      <x:sz val="11"/>
      <x:color rgb="FFFFFFFF"/>
      <x:name val="Arial"/>
    </x:font>
    <x:font>
      <x:i/>
      <x:sz val="8"/>
      <x:color rgb="FF66708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7F9FC"/>
      </x:patternFill>
    </x:fill>
    <x:fill>
      <x:patternFill patternType="solid">
        <x:fgColor rgb="FFE65327"/>
      </x:patternFill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DDEBF7"/>
      </x:patternFill>
    </x:fill>
    <x:fill>
      <x:patternFill patternType="solid">
        <x:fgColor rgb="FFFCE9E3"/>
      </x:patternFill>
    </x:fill>
  </x:fills>
  <x:borders count="20">
    <x:border/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E65327"/>
      </x:left>
      <x:right style="thin">
        <x:color rgb="FFE65327"/>
      </x:right>
      <x:top style="thin">
        <x:color rgb="FFE65327"/>
      </x:top>
      <x:bottom style="thin">
        <x:color rgb="FFE65327"/>
      </x:bottom>
    </x:border>
    <x:border>
      <x:left style="thin">
        <x:color rgb="FFE65327"/>
      </x:left>
      <x:top style="thin">
        <x:color rgb="FFE65327"/>
      </x:top>
      <x:bottom style="thin">
        <x:color rgb="FFE65327"/>
      </x:bottom>
    </x:border>
    <x:border>
      <x:top style="thin">
        <x:color rgb="FFE65327"/>
      </x:top>
      <x:bottom style="thin">
        <x:color rgb="FFE65327"/>
      </x:bottom>
    </x:border>
    <x:border>
      <x:right style="thin">
        <x:color rgb="FFE65327"/>
      </x:right>
      <x:top style="thin">
        <x:color rgb="FFE65327"/>
      </x:top>
      <x:bottom style="thin">
        <x:color rgb="FFE65327"/>
      </x:bottom>
    </x:border>
    <x:border>
      <x:right style="thin">
        <x:color rgb="FFFFFFFF"/>
      </x:right>
      <x:bottom style="medium">
        <x:color rgb="FF17324D"/>
      </x:bottom>
    </x:border>
    <x:border>
      <x:left style="thin">
        <x:color rgb="FFFFFFFF"/>
      </x:left>
      <x:right style="thin">
        <x:color rgb="FFFFFFFF"/>
      </x:right>
      <x:bottom style="medium">
        <x:color rgb="FF17324D"/>
      </x:bottom>
    </x:border>
    <x:border>
      <x:left style="thin">
        <x:color rgb="FFFFFFFF"/>
      </x:left>
      <x:bottom style="medium">
        <x:color rgb="FF17324D"/>
      </x:bottom>
    </x:border>
    <x:border>
      <x:bottom style="thin">
        <x:color rgb="FFD8E0E8"/>
      </x:bottom>
    </x:border>
    <x:border>
      <x:top style="medium">
        <x:color rgb="FF17324D"/>
      </x:top>
      <x:bottom style="thin">
        <x:color rgb="FFFFFFFF"/>
      </x:bottom>
    </x:border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  <x:border>
      <x:left style="thin">
        <x:color rgb="FF2F75B5"/>
      </x:left>
      <x:top style="thin">
        <x:color rgb="FF2F75B5"/>
      </x:top>
      <x:bottom style="thin">
        <x:color rgb="FF2F75B5"/>
      </x:bottom>
    </x:border>
    <x:border>
      <x:top style="thin">
        <x:color rgb="FF2F75B5"/>
      </x:top>
      <x:bottom style="thin">
        <x:color rgb="FF2F75B5"/>
      </x:bottom>
    </x:border>
    <x:border>
      <x:right style="thin">
        <x:color rgb="FF2F75B5"/>
      </x:right>
      <x:top style="thin">
        <x:color rgb="FF2F75B5"/>
      </x:top>
      <x:bottom style="thin">
        <x:color rgb="FF2F75B5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200" fontId="6" fillId="4" borderId="5" xfId="0" applyNumberFormat="1" applyFont="1" applyFill="1" applyBorder="1" applyAlignment="1">
      <x:alignment vertical="center"/>
    </x:xf>
    <x:xf numFmtId="200" fontId="6" fillId="4" borderId="5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201" fontId="7" fillId="7" borderId="0" xfId="0" applyNumberFormat="1" applyFont="1" applyFill="1" applyBorder="1" applyAlignment="1">
      <x:alignment vertical="center"/>
    </x:xf>
    <x:xf numFmtId="201" fontId="7" fillId="7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8" fillId="8" borderId="6" xfId="0" applyNumberFormat="1" applyFont="1" applyFill="1" applyBorder="1" applyAlignment="1">
      <x:alignment vertical="center"/>
    </x:xf>
    <x:xf numFmtId="0" fontId="8" fillId="8" borderId="7" xfId="0" applyNumberFormat="1" applyFont="1" applyFill="1" applyBorder="1" applyAlignment="1">
      <x:alignment vertical="center"/>
    </x:xf>
    <x:xf numFmtId="0" fontId="8" fillId="8" borderId="8" xfId="0" applyNumberFormat="1" applyFont="1" applyFill="1" applyBorder="1" applyAlignment="1">
      <x:alignment vertical="center"/>
    </x:xf>
    <x:xf numFmtId="0" fontId="9" fillId="8" borderId="6" xfId="0" applyNumberFormat="1" applyFont="1" applyFill="1" applyBorder="1" applyAlignment="1">
      <x:alignment vertical="center"/>
    </x:xf>
    <x:xf numFmtId="0" fontId="8" fillId="8" borderId="7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5" fillId="5" borderId="10" xfId="0" applyNumberFormat="1" applyFont="1" applyFill="1" applyBorder="1" applyAlignment="1">
      <x:alignment vertical="center"/>
    </x:xf>
    <x:xf numFmtId="0" fontId="5" fillId="5" borderId="11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1" fillId="0" borderId="12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202" fontId="1" fillId="0" borderId="12" xfId="0" applyNumberFormat="1" applyFont="1" applyFill="1" applyBorder="1" applyAlignment="1">
      <x:alignment horizontal="center" vertical="center"/>
    </x:xf>
    <x:xf numFmtId="202" fontId="1" fillId="0" borderId="2" xfId="0" applyNumberFormat="1" applyFont="1" applyFill="1" applyBorder="1" applyAlignment="1">
      <x:alignment horizontal="center" vertical="center"/>
    </x:xf>
    <x:xf numFmtId="200" fontId="1" fillId="0" borderId="12" xfId="0" applyNumberFormat="1" applyFont="1" applyFill="1" applyBorder="1" applyAlignment="1">
      <x:alignment horizontal="center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0" fontId="1" fillId="6" borderId="12" xfId="0" applyNumberFormat="1" applyFont="1" applyFill="1" applyBorder="1" applyAlignment="1">
      <x:alignment horizontal="center" vertical="center"/>
    </x:xf>
    <x:xf numFmtId="0" fontId="1" fillId="6" borderId="12" xfId="0" applyNumberFormat="1" applyFont="1" applyFill="1" applyBorder="1" applyAlignment="1">
      <x:alignment vertical="center" wrapText="1"/>
    </x:xf>
    <x:xf numFmtId="202" fontId="1" fillId="6" borderId="12" xfId="0" applyNumberFormat="1" applyFont="1" applyFill="1" applyBorder="1" applyAlignment="1">
      <x:alignment horizontal="center" vertical="center"/>
    </x:xf>
    <x:xf numFmtId="200" fontId="1" fillId="6" borderId="12" xfId="0" applyNumberFormat="1" applyFont="1" applyFill="1" applyBorder="1" applyAlignment="1">
      <x:alignment horizontal="center" vertical="center"/>
    </x:xf>
    <x:xf numFmtId="0" fontId="5" fillId="6" borderId="12" xfId="0" applyNumberFormat="1" applyFont="1" applyFill="1" applyBorder="1" applyAlignment="1">
      <x:alignment horizontal="center" vertical="center"/>
    </x:xf>
    <x:xf numFmtId="0" fontId="5" fillId="6" borderId="12" xfId="0" applyNumberFormat="1" applyFont="1" applyFill="1" applyBorder="1" applyAlignment="1">
      <x:alignment vertical="center" wrapText="1"/>
    </x:xf>
    <x:xf numFmtId="202" fontId="5" fillId="6" borderId="12" xfId="0" applyNumberFormat="1" applyFont="1" applyFill="1" applyBorder="1" applyAlignment="1">
      <x:alignment horizontal="center" vertical="center"/>
    </x:xf>
    <x:xf numFmtId="200" fontId="5" fillId="6" borderId="12" xfId="0" applyNumberFormat="1" applyFont="1" applyFill="1" applyBorder="1" applyAlignment="1">
      <x:alignment horizontal="center" vertical="center"/>
    </x:xf>
    <x:xf numFmtId="0" fontId="5" fillId="6" borderId="13" xfId="0" applyNumberFormat="1" applyFont="1" applyFill="1" applyBorder="1" applyAlignment="1">
      <x:alignment horizontal="center" vertical="center"/>
    </x:xf>
    <x:xf numFmtId="0" fontId="5" fillId="6" borderId="13" xfId="0" applyNumberFormat="1" applyFont="1" applyFill="1" applyBorder="1" applyAlignment="1">
      <x:alignment vertical="center" wrapText="1"/>
    </x:xf>
    <x:xf numFmtId="202" fontId="5" fillId="6" borderId="13" xfId="0" applyNumberFormat="1" applyFont="1" applyFill="1" applyBorder="1" applyAlignment="1">
      <x:alignment horizontal="center" vertical="center"/>
    </x:xf>
    <x:xf numFmtId="200" fontId="5" fillId="6" borderId="13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2" fillId="2" borderId="2" xfId="0" applyNumberFormat="1" applyFont="1" applyFill="1" applyBorder="1" applyAlignment="1">
      <x:alignment horizontal="center" vertical="center"/>
    </x:xf>
    <x:xf numFmtId="0" fontId="12" fillId="2" borderId="4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horizontal="center" vertical="center"/>
    </x:xf>
    <x:xf numFmtId="0" fontId="1" fillId="6" borderId="2" xfId="0" applyNumberFormat="1" applyFont="1" applyFill="1" applyBorder="1" applyAlignment="1">
      <x:alignment vertical="center" wrapText="1"/>
    </x:xf>
    <x:xf numFmtId="202" fontId="1" fillId="6" borderId="2" xfId="0" applyNumberFormat="1" applyFont="1" applyFill="1" applyBorder="1" applyAlignment="1">
      <x:alignment horizontal="center" vertical="center"/>
    </x:xf>
    <x:xf numFmtId="200" fontId="1" fillId="6" borderId="2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vertical="center" wrapText="1"/>
    </x:xf>
    <x:xf numFmtId="202" fontId="5" fillId="6" borderId="2" xfId="0" applyNumberFormat="1" applyFont="1" applyFill="1" applyBorder="1" applyAlignment="1">
      <x:alignment horizontal="center" vertical="center"/>
    </x:xf>
    <x:xf numFmtId="200" fontId="5" fillId="6" borderId="2" xfId="0" applyNumberFormat="1" applyFont="1" applyFill="1" applyBorder="1" applyAlignment="1">
      <x:alignment horizontal="center" vertical="center"/>
    </x:xf>
    <x:xf numFmtId="0" fontId="13" fillId="5" borderId="0" xfId="0" applyNumberFormat="1" applyFont="1" applyFill="1" applyBorder="1" applyAlignment="1">
      <x:alignment vertical="center"/>
    </x:xf>
    <x:xf numFmtId="0" fontId="13" fillId="5" borderId="14" xfId="0" applyNumberFormat="1" applyFont="1" applyFill="1" applyBorder="1" applyAlignment="1">
      <x:alignment vertical="center"/>
    </x:xf>
    <x:xf numFmtId="0" fontId="13" fillId="5" borderId="15" xfId="0" applyNumberFormat="1" applyFont="1" applyFill="1" applyBorder="1" applyAlignment="1">
      <x:alignment vertical="center"/>
    </x:xf>
    <x:xf numFmtId="0" fontId="13" fillId="5" borderId="16" xfId="0" applyNumberFormat="1" applyFont="1" applyFill="1" applyBorder="1" applyAlignment="1">
      <x:alignment vertical="center"/>
    </x:xf>
    <x:xf numFmtId="201" fontId="13" fillId="5" borderId="15" xfId="0" applyNumberFormat="1" applyFont="1" applyFill="1" applyBorder="1" applyAlignment="1">
      <x:alignment vertical="center"/>
    </x:xf>
    <x:xf numFmtId="200" fontId="13" fillId="5" borderId="15" xfId="0" applyNumberFormat="1" applyFont="1" applyFill="1" applyBorder="1" applyAlignment="1">
      <x:alignment vertical="center"/>
    </x:xf>
    <x:xf numFmtId="0" fontId="4" fillId="7" borderId="17" xfId="0" applyNumberFormat="1" applyFont="1" applyFill="1" applyBorder="1" applyAlignment="1">
      <x:alignment vertical="center"/>
    </x:xf>
    <x:xf numFmtId="0" fontId="4" fillId="7" borderId="18" xfId="0" applyNumberFormat="1" applyFont="1" applyFill="1" applyBorder="1" applyAlignment="1">
      <x:alignment vertical="center"/>
    </x:xf>
    <x:xf numFmtId="0" fontId="4" fillId="7" borderId="19" xfId="0" applyNumberFormat="1" applyFont="1" applyFill="1" applyBorder="1" applyAlignment="1">
      <x:alignment vertical="center"/>
    </x:xf>
    <x:xf numFmtId="0" fontId="4" fillId="7" borderId="17" xfId="0" applyNumberFormat="1" applyFont="1" applyFill="1" applyBorder="1" applyAlignment="1">
      <x:alignment vertical="center" wrapText="1"/>
    </x:xf>
    <x:xf numFmtId="0" fontId="4" fillId="7" borderId="18" xfId="0" applyNumberFormat="1" applyFont="1" applyFill="1" applyBorder="1" applyAlignment="1">
      <x:alignment vertical="center" wrapText="1"/>
    </x:xf>
    <x:xf numFmtId="0" fontId="4" fillId="7" borderId="19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1">
    <x:dxf>
      <x:font>
        <x:color rgb="FF1E6B43"/>
      </x:font>
      <x:fill>
        <x:patternFill patternType="solid">
          <x:bgColor rgb="FFE7F4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de0c068014188" /><Relationship Type="http://schemas.openxmlformats.org/officeDocument/2006/relationships/theme" Target="/xl/theme/theme1.xml" Id="Rdcc45d52c77544f3" /><Relationship Type="http://schemas.openxmlformats.org/officeDocument/2006/relationships/sharedStrings" Target="/xl/sharedStrings.xml" Id="R917ca78c296b4ade" /><Relationship Type="http://schemas.openxmlformats.org/officeDocument/2006/relationships/worksheet" Target="/xl/worksheets/sheet1.xml" Id="R82ff1ec2af3045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65327"/>
  </x:sheetPr>
  <x:sheetViews>
    <x:sheetView showGridLines="0" workbookViewId="0"/>
  </x:sheetViews>
  <x:sheetFormatPr defaultRowHeight="15"/>
  <x:cols>
    <x:col min="1" max="1" width="11" hidden="0" customWidth="1"/>
    <x:col min="2" max="2" width="66" hidden="0" customWidth="1"/>
    <x:col min="3" max="3" width="17" hidden="0" customWidth="1"/>
    <x:col min="4" max="4" width="16" hidden="0" customWidth="1"/>
    <x:col min="5" max="5" width="15" hidden="0" customWidth="1"/>
    <x:col min="6" max="6" width="48" hidden="0" customWidth="1"/>
  </x:cols>
  <x:sheetData>
    <x:row r="1" ht="9" customHeight="1">
      <x:c r="A1" s="2"/>
      <x:c r="B1" s="2"/>
      <x:c r="C1" s="2"/>
      <x:c r="D1" s="2"/>
      <x:c r="E1" s="2"/>
      <x:c r="F1" s="2"/>
    </x:row>
    <x:row r="2" ht="28" customHeight="1">
      <x:c r="A2" s="3" t="str">
        <x:v>Rúbrica de autoevaluación</x:v>
      </x:c>
      <x:c r="B2" s="3"/>
      <x:c r="C2" s="3"/>
      <x:c r="D2" s="3"/>
      <x:c r="E2" s="3"/>
      <x:c r="F2" s="3"/>
    </x:row>
    <x:row r="3" ht="21" customHeight="1">
      <x:c r="A3" s="4" t="str">
        <x:v>Data Engineer - Ingeniería de datos</x:v>
      </x:c>
      <x:c r="B3" s="4"/>
      <x:c r="C3" s="4"/>
      <x:c r="D3" s="4"/>
      <x:c r="E3" s="4"/>
      <x:c r="F3" s="4"/>
    </x:row>
    <x:row r="4" ht="27" customHeight="1">
      <x:c r="A4" s="8" t="str">
        <x:v>Alumno/a</x:v>
      </x:c>
      <x:c r="B4" s="11" t="str"/>
      <x:c r="C4" s="9" t="str">
        <x:v>Fecha</x:v>
      </x:c>
      <x:c r="D4" s="11" t="str"/>
      <x:c r="E4" s="9" t="str">
        <x:v>Proyecto</x:v>
      </x:c>
      <x:c r="F4" s="14" t="str">
        <x:v>Data Engineer - Ingeniería de datos</x:v>
      </x:c>
    </x:row>
    <x:row r="5" ht="4" customHeight="1">
      <x:c r="A5" s="15"/>
      <x:c r="B5" s="15"/>
      <x:c r="C5" s="15"/>
      <x:c r="D5" s="15"/>
      <x:c r="E5" s="15"/>
      <x:c r="F5" s="15"/>
    </x:row>
    <x:row r="6">
      <x:c r="A6" s="2"/>
      <x:c r="B6" s="2"/>
      <x:c r="C6" s="2"/>
      <x:c r="D6" s="2"/>
      <x:c r="E6" s="2"/>
      <x:c r="F6" s="2"/>
    </x:row>
    <x:row r="7" ht="38" customHeight="1">
      <x:c r="A7" s="18" t="str">
        <x:v>NOTA FINAL</x:v>
      </x:c>
      <x:c r="B7" s="22" t="n">
        <x:f>ROUND(SUM(E12,E17,E26,E36,E43,E46),2)</x:f>
        <x:v>0</x:v>
      </x:c>
      <x:c r="C7" s="18" t="str">
        <x:v>de 100 puntos</x:v>
      </x:c>
      <x:c r="D7" s="25" t="str">
        <x:v>COMPLETADO</x:v>
      </x:c>
      <x:c r="E7" s="29" t="n">
        <x:f>COUNTIFS(D12:D48,"☑ Sí")/31</x:f>
        <x:v>0</x:v>
      </x:c>
      <x:c r="F7" s="31" t="str">
        <x:f>COUNTIFS(D12:D48,"☑ Sí")&amp;" / 31 checks"</x:f>
        <x:v>0 / 31 checks</x:v>
      </x:c>
    </x:row>
    <x:row r="8" ht="25" customHeight="1">
      <x:c r="A8" s="37" t="str">
        <x:v>Cómo usarla</x:v>
      </x:c>
      <x:c r="B8" s="38" t="str">
        <x:v>En la columna Marca, selecciona ☑ Sí cuando el proyecto cumpla el indicador. La nota se actualiza automáticamente.</x:v>
      </x:c>
      <x:c r="C8" s="35" t="str"/>
      <x:c r="D8" s="35" t="str"/>
      <x:c r="E8" s="35" t="str"/>
      <x:c r="F8" s="36" t="str"/>
    </x:row>
    <x:row r="9">
      <x:c r="A9" s="2"/>
      <x:c r="B9" s="2"/>
      <x:c r="C9" s="2"/>
      <x:c r="D9" s="2"/>
      <x:c r="E9" s="2"/>
      <x:c r="F9" s="2"/>
    </x:row>
    <x:row r="10" ht="22" customHeight="1">
      <x:c r="A10" s="39" t="str">
        <x:v>INDICADORES DE EVALUACIÓN</x:v>
      </x:c>
      <x:c r="B10" s="40" t="str">
        <x:v>Cada check reparte por igual el peso de su competencia, salvo cuando la fuente define un valor específico.</x:v>
      </x:c>
      <x:c r="C10" s="39" t="str"/>
      <x:c r="D10" s="39" t="str"/>
      <x:c r="E10" s="39" t="str"/>
      <x:c r="F10" s="39" t="str"/>
    </x:row>
    <x:row r="11" ht="30" customHeight="1">
      <x:c r="A11" s="47" t="str">
        <x:v>Nº</x:v>
      </x:c>
      <x:c r="B11" s="48" t="str">
        <x:v>Competencia / indicador evaluable</x:v>
      </x:c>
      <x:c r="C11" s="48" t="str">
        <x:v>Peso</x:v>
      </x:c>
      <x:c r="D11" s="48" t="str">
        <x:v>Marca</x:v>
      </x:c>
      <x:c r="E11" s="48" t="str">
        <x:v>Puntos</x:v>
      </x:c>
      <x:c r="F11" s="49" t="str">
        <x:v>Evidencias o comentario</x:v>
      </x:c>
    </x:row>
    <x:row r="12" ht="38" customHeight="1">
      <x:c r="A12" s="67" t="str">
        <x:v>C1</x:v>
      </x:c>
      <x:c r="B12" s="68" t="str">
        <x:v>Comunicar efectivamente el desarrollo de un proyecto de forma clara y estructurada</x:v>
      </x:c>
      <x:c r="C12" s="69" t="n">
        <x:v>0.1</x:v>
      </x:c>
      <x:c r="D12" s="67" t="str">
        <x:v>4 checks</x:v>
      </x:c>
      <x:c r="E12" s="70" t="n">
        <x:f>ROUND(SUM(E13:E16),2)</x:f>
        <x:v>0</x:v>
      </x:c>
      <x:c r="F12" s="68" t="str">
        <x:v>Puntuación de la competencia</x:v>
      </x:c>
    </x:row>
    <x:row r="13" ht="27" customHeight="1">
      <x:c r="A13" s="54" t="n">
        <x:v>1</x:v>
      </x:c>
      <x:c r="B13" s="52" t="str">
        <x:v>Uso de estructura ordenada</x:v>
      </x:c>
      <x:c r="C13" s="56" t="n">
        <x:v>0.025</x:v>
      </x:c>
      <x:c r="D13" s="73" t="str">
        <x:v>☐ No</x:v>
      </x:c>
      <x:c r="E13" s="58" t="n">
        <x:f>IF(D13="☑ Sí",C13*100,0)</x:f>
        <x:v>0</x:v>
      </x:c>
      <x:c r="F13" s="74" t="str"/>
    </x:row>
    <x:row r="14" ht="27" customHeight="1">
      <x:c r="A14" s="54" t="n">
        <x:v>2</x:v>
      </x:c>
      <x:c r="B14" s="52" t="str">
        <x:v>Uso de contenido visual / demo</x:v>
      </x:c>
      <x:c r="C14" s="56" t="n">
        <x:v>0.025</x:v>
      </x:c>
      <x:c r="D14" s="73" t="str">
        <x:v>☐ No</x:v>
      </x:c>
      <x:c r="E14" s="58" t="n">
        <x:f>IF(D14="☑ Sí",C14*100,0)</x:f>
        <x:v>0</x:v>
      </x:c>
      <x:c r="F14" s="74" t="str"/>
    </x:row>
    <x:row r="15" ht="27" customHeight="1">
      <x:c r="A15" s="54" t="n">
        <x:v>3</x:v>
      </x:c>
      <x:c r="B15" s="52" t="str">
        <x:v>Uso de estructura pragmática y concreta</x:v>
      </x:c>
      <x:c r="C15" s="56" t="n">
        <x:v>0.025</x:v>
      </x:c>
      <x:c r="D15" s="73" t="str">
        <x:v>☐ No</x:v>
      </x:c>
      <x:c r="E15" s="58" t="n">
        <x:f>IF(D15="☑ Sí",C15*100,0)</x:f>
        <x:v>0</x:v>
      </x:c>
      <x:c r="F15" s="74" t="str"/>
    </x:row>
    <x:row r="16" ht="27" customHeight="1">
      <x:c r="A16" s="54" t="n">
        <x:v>4</x:v>
      </x:c>
      <x:c r="B16" s="52" t="str">
        <x:v>Uso de storytelling</x:v>
      </x:c>
      <x:c r="C16" s="56" t="n">
        <x:v>0.025</x:v>
      </x:c>
      <x:c r="D16" s="73" t="str">
        <x:v>☐ No</x:v>
      </x:c>
      <x:c r="E16" s="58" t="n">
        <x:f>IF(D16="☑ Sí",C16*100,0)</x:f>
        <x:v>0</x:v>
      </x:c>
      <x:c r="F16" s="74" t="str"/>
    </x:row>
    <x:row r="17" ht="38" customHeight="1">
      <x:c r="A17" s="67" t="str">
        <x:v>C2</x:v>
      </x:c>
      <x:c r="B17" s="68" t="str">
        <x:v>Gestionar eficientemente proyectos de desarrollo con herramientas de control de versiones</x:v>
      </x:c>
      <x:c r="C17" s="69" t="n">
        <x:v>0.1</x:v>
      </x:c>
      <x:c r="D17" s="67" t="str">
        <x:v>8 checks</x:v>
      </x:c>
      <x:c r="E17" s="70" t="n">
        <x:f>ROUND(SUM(E18:E25),2)</x:f>
        <x:v>0</x:v>
      </x:c>
      <x:c r="F17" s="68" t="str">
        <x:v>Puntuación de la competencia</x:v>
      </x:c>
    </x:row>
    <x:row r="18" ht="27" customHeight="1">
      <x:c r="A18" s="54" t="n">
        <x:v>5</x:v>
      </x:c>
      <x:c r="B18" s="52" t="str">
        <x:v>Uso de GitHub, GitLab o Bitbucket</x:v>
      </x:c>
      <x:c r="C18" s="56" t="n">
        <x:v>0.0125</x:v>
      </x:c>
      <x:c r="D18" s="73" t="str">
        <x:v>☐ No</x:v>
      </x:c>
      <x:c r="E18" s="58" t="n">
        <x:f>IF(D18="☑ Sí",C18*100,0)</x:f>
        <x:v>0</x:v>
      </x:c>
      <x:c r="F18" s="74" t="str"/>
    </x:row>
    <x:row r="19" ht="27" customHeight="1">
      <x:c r="A19" s="54" t="n">
        <x:v>6</x:v>
      </x:c>
      <x:c r="B19" s="52" t="str">
        <x:v>Conectar el repositorio local al remoto</x:v>
      </x:c>
      <x:c r="C19" s="56" t="n">
        <x:v>0.0125</x:v>
      </x:c>
      <x:c r="D19" s="73" t="str">
        <x:v>☐ No</x:v>
      </x:c>
      <x:c r="E19" s="58" t="n">
        <x:f>IF(D19="☑ Sí",C19*100,0)</x:f>
        <x:v>0</x:v>
      </x:c>
      <x:c r="F19" s="74" t="str"/>
    </x:row>
    <x:row r="20" ht="27" customHeight="1">
      <x:c r="A20" s="54" t="n">
        <x:v>7</x:v>
      </x:c>
      <x:c r="B20" s="52" t="str">
        <x:v>Uso de commits descriptivos</x:v>
      </x:c>
      <x:c r="C20" s="56" t="n">
        <x:v>0.0125</x:v>
      </x:c>
      <x:c r="D20" s="73" t="str">
        <x:v>☐ No</x:v>
      </x:c>
      <x:c r="E20" s="58" t="n">
        <x:f>IF(D20="☑ Sí",C20*100,0)</x:f>
        <x:v>0</x:v>
      </x:c>
      <x:c r="F20" s="74" t="str"/>
    </x:row>
    <x:row r="21" ht="27" customHeight="1">
      <x:c r="A21" s="54" t="n">
        <x:v>8</x:v>
      </x:c>
      <x:c r="B21" s="52" t="str">
        <x:v>Uso de metodología Gitflow</x:v>
      </x:c>
      <x:c r="C21" s="56" t="n">
        <x:v>0.0125</x:v>
      </x:c>
      <x:c r="D21" s="73" t="str">
        <x:v>☐ No</x:v>
      </x:c>
      <x:c r="E21" s="58" t="n">
        <x:f>IF(D21="☑ Sí",C21*100,0)</x:f>
        <x:v>0</x:v>
      </x:c>
      <x:c r="F21" s="74" t="str"/>
    </x:row>
    <x:row r="22" ht="27" customHeight="1">
      <x:c r="A22" s="54" t="n">
        <x:v>9</x:v>
      </x:c>
      <x:c r="B22" s="52" t="str">
        <x:v>Uso apropiado de ramas</x:v>
      </x:c>
      <x:c r="C22" s="56" t="n">
        <x:v>0.0125</x:v>
      </x:c>
      <x:c r="D22" s="73" t="str">
        <x:v>☐ No</x:v>
      </x:c>
      <x:c r="E22" s="58" t="n">
        <x:f>IF(D22="☑ Sí",C22*100,0)</x:f>
        <x:v>0</x:v>
      </x:c>
      <x:c r="F22" s="74" t="str"/>
    </x:row>
    <x:row r="23" ht="27" customHeight="1">
      <x:c r="A23" s="54" t="n">
        <x:v>10</x:v>
      </x:c>
      <x:c r="B23" s="52" t="str">
        <x:v>Uso de nomenclatura en commits</x:v>
      </x:c>
      <x:c r="C23" s="56" t="n">
        <x:v>0.0125</x:v>
      </x:c>
      <x:c r="D23" s="73" t="str">
        <x:v>☐ No</x:v>
      </x:c>
      <x:c r="E23" s="58" t="n">
        <x:f>IF(D23="☑ Sí",C23*100,0)</x:f>
        <x:v>0</x:v>
      </x:c>
      <x:c r="F23" s="74" t="str"/>
    </x:row>
    <x:row r="24" ht="27" customHeight="1">
      <x:c r="A24" s="54" t="n">
        <x:v>11</x:v>
      </x:c>
      <x:c r="B24" s="52" t="str">
        <x:v>Uso de issues en GitHub</x:v>
      </x:c>
      <x:c r="C24" s="56" t="n">
        <x:v>0.0125</x:v>
      </x:c>
      <x:c r="D24" s="73" t="str">
        <x:v>☐ No</x:v>
      </x:c>
      <x:c r="E24" s="58" t="n">
        <x:f>IF(D24="☑ Sí",C24*100,0)</x:f>
        <x:v>0</x:v>
      </x:c>
      <x:c r="F24" s="74" t="str"/>
    </x:row>
    <x:row r="25" ht="27" customHeight="1">
      <x:c r="A25" s="54" t="n">
        <x:v>12</x:v>
      </x:c>
      <x:c r="B25" s="52" t="str">
        <x:v>Uso de nomenclatura en ramas</x:v>
      </x:c>
      <x:c r="C25" s="56" t="n">
        <x:v>0.0125</x:v>
      </x:c>
      <x:c r="D25" s="73" t="str">
        <x:v>☐ No</x:v>
      </x:c>
      <x:c r="E25" s="58" t="n">
        <x:f>IF(D25="☑ Sí",C25*100,0)</x:f>
        <x:v>0</x:v>
      </x:c>
      <x:c r="F25" s="74" t="str"/>
    </x:row>
    <x:row r="26" ht="38" customHeight="1">
      <x:c r="A26" s="67" t="str">
        <x:v>C3</x:v>
      </x:c>
      <x:c r="B26" s="68" t="str">
        <x:v>Gestionar equipos de forma eficiente</x:v>
      </x:c>
      <x:c r="C26" s="69" t="n">
        <x:v>0.1</x:v>
      </x:c>
      <x:c r="D26" s="67" t="str">
        <x:v>9 checks</x:v>
      </x:c>
      <x:c r="E26" s="70" t="n">
        <x:f>ROUND(SUM(E27:E35),2)</x:f>
        <x:v>0</x:v>
      </x:c>
      <x:c r="F26" s="68" t="str">
        <x:v>Puntuación de la competencia</x:v>
      </x:c>
    </x:row>
    <x:row r="27" ht="27" customHeight="1">
      <x:c r="A27" s="54" t="n">
        <x:v>13</x:v>
      </x:c>
      <x:c r="B27" s="52" t="str">
        <x:v>Uso de Kanban / burndown chart</x:v>
      </x:c>
      <x:c r="C27" s="56" t="n">
        <x:v>0.011111111111111112</x:v>
      </x:c>
      <x:c r="D27" s="73" t="str">
        <x:v>☐ No</x:v>
      </x:c>
      <x:c r="E27" s="58" t="n">
        <x:f>IF(D27="☑ Sí",C27*100,0)</x:f>
        <x:v>0</x:v>
      </x:c>
      <x:c r="F27" s="74" t="str"/>
    </x:row>
    <x:row r="28" ht="27" customHeight="1">
      <x:c r="A28" s="54" t="n">
        <x:v>14</x:v>
      </x:c>
      <x:c r="B28" s="52" t="str">
        <x:v>Uso de roles definidos</x:v>
      </x:c>
      <x:c r="C28" s="56" t="n">
        <x:v>0.011111111111111112</x:v>
      </x:c>
      <x:c r="D28" s="73" t="str">
        <x:v>☐ No</x:v>
      </x:c>
      <x:c r="E28" s="58" t="n">
        <x:f>IF(D28="☑ Sí",C28*100,0)</x:f>
        <x:v>0</x:v>
      </x:c>
      <x:c r="F28" s="74" t="str"/>
    </x:row>
    <x:row r="29" ht="27" customHeight="1">
      <x:c r="A29" s="54" t="n">
        <x:v>15</x:v>
      </x:c>
      <x:c r="B29" s="52" t="str">
        <x:v>Uso de actas de reuniones</x:v>
      </x:c>
      <x:c r="C29" s="56" t="n">
        <x:v>0.011111111111111112</x:v>
      </x:c>
      <x:c r="D29" s="73" t="str">
        <x:v>☐ No</x:v>
      </x:c>
      <x:c r="E29" s="58" t="n">
        <x:f>IF(D29="☑ Sí",C29*100,0)</x:f>
        <x:v>0</x:v>
      </x:c>
      <x:c r="F29" s="74" t="str"/>
    </x:row>
    <x:row r="30" ht="27" customHeight="1">
      <x:c r="A30" s="54" t="n">
        <x:v>16</x:v>
      </x:c>
      <x:c r="B30" s="52" t="str">
        <x:v>Uso de dailies</x:v>
      </x:c>
      <x:c r="C30" s="56" t="n">
        <x:v>0.011111111111111112</x:v>
      </x:c>
      <x:c r="D30" s="73" t="str">
        <x:v>☐ No</x:v>
      </x:c>
      <x:c r="E30" s="58" t="n">
        <x:f>IF(D30="☑ Sí",C30*100,0)</x:f>
        <x:v>0</x:v>
      </x:c>
      <x:c r="F30" s="74" t="str"/>
    </x:row>
    <x:row r="31" ht="27" customHeight="1">
      <x:c r="A31" s="54" t="n">
        <x:v>17</x:v>
      </x:c>
      <x:c r="B31" s="52" t="str">
        <x:v>Uso de retrospectivas</x:v>
      </x:c>
      <x:c r="C31" s="56" t="n">
        <x:v>0.011111111111111112</x:v>
      </x:c>
      <x:c r="D31" s="73" t="str">
        <x:v>☐ No</x:v>
      </x:c>
      <x:c r="E31" s="58" t="n">
        <x:f>IF(D31="☑ Sí",C31*100,0)</x:f>
        <x:v>0</x:v>
      </x:c>
      <x:c r="F31" s="74" t="str"/>
    </x:row>
    <x:row r="32" ht="36" customHeight="1">
      <x:c r="A32" s="54" t="n">
        <x:v>18</x:v>
      </x:c>
      <x:c r="B32" s="52" t="str">
        <x:v>Uso de herramientas de gestión de proyectos (Trello, Jira, etc.)</x:v>
      </x:c>
      <x:c r="C32" s="56" t="n">
        <x:v>0.011111111111111112</x:v>
      </x:c>
      <x:c r="D32" s="73" t="str">
        <x:v>☐ No</x:v>
      </x:c>
      <x:c r="E32" s="58" t="n">
        <x:f>IF(D32="☑ Sí",C32*100,0)</x:f>
        <x:v>0</x:v>
      </x:c>
      <x:c r="F32" s="74" t="str"/>
    </x:row>
    <x:row r="33" ht="27" customHeight="1">
      <x:c r="A33" s="54" t="n">
        <x:v>19</x:v>
      </x:c>
      <x:c r="B33" s="52" t="str">
        <x:v>Uso de estimación de tareas</x:v>
      </x:c>
      <x:c r="C33" s="56" t="n">
        <x:v>0.011111111111111112</x:v>
      </x:c>
      <x:c r="D33" s="73" t="str">
        <x:v>☐ No</x:v>
      </x:c>
      <x:c r="E33" s="58" t="n">
        <x:f>IF(D33="☑ Sí",C33*100,0)</x:f>
        <x:v>0</x:v>
      </x:c>
      <x:c r="F33" s="74" t="str"/>
    </x:row>
    <x:row r="34" ht="27" customHeight="1">
      <x:c r="A34" s="54" t="n">
        <x:v>20</x:v>
      </x:c>
      <x:c r="B34" s="52" t="str">
        <x:v>Prioriza al equipo</x:v>
      </x:c>
      <x:c r="C34" s="56" t="n">
        <x:v>0.011111111111111112</x:v>
      </x:c>
      <x:c r="D34" s="73" t="str">
        <x:v>☐ No</x:v>
      </x:c>
      <x:c r="E34" s="58" t="n">
        <x:f>IF(D34="☑ Sí",C34*100,0)</x:f>
        <x:v>0</x:v>
      </x:c>
      <x:c r="F34" s="74" t="str"/>
    </x:row>
    <x:row r="35" ht="36" customHeight="1">
      <x:c r="A35" s="54" t="n">
        <x:v>21</x:v>
      </x:c>
      <x:c r="B35" s="52" t="str">
        <x:v>Uso de documentación (README) o celdas Markdown en notebook</x:v>
      </x:c>
      <x:c r="C35" s="56" t="n">
        <x:v>0.011111111111111112</x:v>
      </x:c>
      <x:c r="D35" s="73" t="str">
        <x:v>☐ No</x:v>
      </x:c>
      <x:c r="E35" s="58" t="n">
        <x:f>IF(D35="☑ Sí",C35*100,0)</x:f>
        <x:v>0</x:v>
      </x:c>
      <x:c r="F35" s="74" t="str"/>
    </x:row>
    <x:row r="36" ht="38" customHeight="1">
      <x:c r="A36" s="67" t="str">
        <x:v>C4</x:v>
      </x:c>
      <x:c r="B36" s="68" t="str">
        <x:v>Diseñar y gestionar bases de datos de manera eficiente</x:v>
      </x:c>
      <x:c r="C36" s="69" t="n">
        <x:v>0.5</x:v>
      </x:c>
      <x:c r="D36" s="67" t="str">
        <x:v>6 checks</x:v>
      </x:c>
      <x:c r="E36" s="70" t="n">
        <x:f>ROUND(SUM(E37:E42),2)</x:f>
        <x:v>0</x:v>
      </x:c>
      <x:c r="F36" s="68" t="str">
        <x:v>Puntuación de la competencia</x:v>
      </x:c>
    </x:row>
    <x:row r="37" ht="27" customHeight="1">
      <x:c r="A37" s="54" t="n">
        <x:v>22</x:v>
      </x:c>
      <x:c r="B37" s="52" t="str">
        <x:v>Uso de modelado de datos</x:v>
      </x:c>
      <x:c r="C37" s="56" t="n">
        <x:v>0.08333333333333333</x:v>
      </x:c>
      <x:c r="D37" s="73" t="str">
        <x:v>☐ No</x:v>
      </x:c>
      <x:c r="E37" s="58" t="n">
        <x:f>IF(D37="☑ Sí",C37*100,0)</x:f>
        <x:v>0</x:v>
      </x:c>
      <x:c r="F37" s="74" t="str"/>
    </x:row>
    <x:row r="38" ht="27" customHeight="1">
      <x:c r="A38" s="54" t="n">
        <x:v>23</x:v>
      </x:c>
      <x:c r="B38" s="52" t="str">
        <x:v>Uso de normalización de datos</x:v>
      </x:c>
      <x:c r="C38" s="56" t="n">
        <x:v>0.08333333333333333</x:v>
      </x:c>
      <x:c r="D38" s="73" t="str">
        <x:v>☐ No</x:v>
      </x:c>
      <x:c r="E38" s="58" t="n">
        <x:f>IF(D38="☑ Sí",C38*100,0)</x:f>
        <x:v>0</x:v>
      </x:c>
      <x:c r="F38" s="74" t="str"/>
    </x:row>
    <x:row r="39" ht="36" customHeight="1">
      <x:c r="A39" s="54" t="n">
        <x:v>24</x:v>
      </x:c>
      <x:c r="B39" s="52" t="str">
        <x:v>Uso avanzado de orquestación de contenedores (Docker Compose, Kubernetes, Docker Swarm)</x:v>
      </x:c>
      <x:c r="C39" s="56" t="n">
        <x:v>0.08333333333333333</x:v>
      </x:c>
      <x:c r="D39" s="73" t="str">
        <x:v>☐ No</x:v>
      </x:c>
      <x:c r="E39" s="58" t="n">
        <x:f>IF(D39="☑ Sí",C39*100,0)</x:f>
        <x:v>0</x:v>
      </x:c>
      <x:c r="F39" s="74" t="str"/>
    </x:row>
    <x:row r="40" ht="27" customHeight="1">
      <x:c r="A40" s="54" t="n">
        <x:v>25</x:v>
      </x:c>
      <x:c r="B40" s="52" t="str">
        <x:v>Guardar datos en una base de datos SQL</x:v>
      </x:c>
      <x:c r="C40" s="56" t="n">
        <x:v>0.08333333333333333</x:v>
      </x:c>
      <x:c r="D40" s="73" t="str">
        <x:v>☐ No</x:v>
      </x:c>
      <x:c r="E40" s="58" t="n">
        <x:f>IF(D40="☑ Sí",C40*100,0)</x:f>
        <x:v>0</x:v>
      </x:c>
      <x:c r="F40" s="74" t="str"/>
    </x:row>
    <x:row r="41" ht="27" customHeight="1">
      <x:c r="A41" s="54" t="n">
        <x:v>26</x:v>
      </x:c>
      <x:c r="B41" s="52" t="str">
        <x:v>Guardar datos en una base de datos NoSQL</x:v>
      </x:c>
      <x:c r="C41" s="56" t="n">
        <x:v>0.08333333333333333</x:v>
      </x:c>
      <x:c r="D41" s="73" t="str">
        <x:v>☐ No</x:v>
      </x:c>
      <x:c r="E41" s="58" t="n">
        <x:f>IF(D41="☑ Sí",C41*100,0)</x:f>
        <x:v>0</x:v>
      </x:c>
      <x:c r="F41" s="74" t="str"/>
    </x:row>
    <x:row r="42" ht="27" customHeight="1">
      <x:c r="A42" s="54" t="n">
        <x:v>27</x:v>
      </x:c>
      <x:c r="B42" s="52" t="str">
        <x:v>Consumir grandes volúmenes de datos en tiempo real (Kafka)</x:v>
      </x:c>
      <x:c r="C42" s="56" t="n">
        <x:v>0.08333333333333333</x:v>
      </x:c>
      <x:c r="D42" s="73" t="str">
        <x:v>☐ No</x:v>
      </x:c>
      <x:c r="E42" s="58" t="n">
        <x:f>IF(D42="☑ Sí",C42*100,0)</x:f>
        <x:v>0</x:v>
      </x:c>
      <x:c r="F42" s="74" t="str"/>
    </x:row>
    <x:row r="43" ht="38" customHeight="1">
      <x:c r="A43" s="67" t="str">
        <x:v>C5</x:v>
      </x:c>
      <x:c r="B43" s="68" t="str">
        <x:v>Desplegar y gestionar aplicaciones en entornos de nube</x:v>
      </x:c>
      <x:c r="C43" s="69" t="n">
        <x:v>0.1</x:v>
      </x:c>
      <x:c r="D43" s="67" t="str">
        <x:v>2 checks</x:v>
      </x:c>
      <x:c r="E43" s="70" t="n">
        <x:f>ROUND(SUM(E44:E45),2)</x:f>
        <x:v>0</x:v>
      </x:c>
      <x:c r="F43" s="68" t="str">
        <x:v>Puntuación de la competencia</x:v>
      </x:c>
    </x:row>
    <x:row r="44" ht="27" customHeight="1">
      <x:c r="A44" s="54" t="n">
        <x:v>28</x:v>
      </x:c>
      <x:c r="B44" s="52" t="str">
        <x:v>Uso de Docker</x:v>
      </x:c>
      <x:c r="C44" s="56" t="n">
        <x:v>0.05</x:v>
      </x:c>
      <x:c r="D44" s="73" t="str">
        <x:v>☐ No</x:v>
      </x:c>
      <x:c r="E44" s="58" t="n">
        <x:f>IF(D44="☑ Sí",C44*100,0)</x:f>
        <x:v>0</x:v>
      </x:c>
      <x:c r="F44" s="74" t="str"/>
    </x:row>
    <x:row r="45" ht="27" customHeight="1">
      <x:c r="A45" s="54" t="n">
        <x:v>29</x:v>
      </x:c>
      <x:c r="B45" s="52" t="str">
        <x:v>Uso de un servicio cloud (Azure, AWS, etc.)</x:v>
      </x:c>
      <x:c r="C45" s="56" t="n">
        <x:v>0.05</x:v>
      </x:c>
      <x:c r="D45" s="73" t="str">
        <x:v>☐ No</x:v>
      </x:c>
      <x:c r="E45" s="58" t="n">
        <x:f>IF(D45="☑ Sí",C45*100,0)</x:f>
        <x:v>0</x:v>
      </x:c>
      <x:c r="F45" s="74" t="str"/>
    </x:row>
    <x:row r="46" ht="38" customHeight="1">
      <x:c r="A46" s="67" t="str">
        <x:v>C6</x:v>
      </x:c>
      <x:c r="B46" s="68" t="str">
        <x:v>Evaluar conjuntos de datos utilizando herramientas de análisis y visualización de datos</x:v>
      </x:c>
      <x:c r="C46" s="69" t="n">
        <x:v>0.1</x:v>
      </x:c>
      <x:c r="D46" s="67" t="str">
        <x:v>2 checks</x:v>
      </x:c>
      <x:c r="E46" s="70" t="n">
        <x:f>ROUND(SUM(E47:E48),2)</x:f>
        <x:v>0</x:v>
      </x:c>
      <x:c r="F46" s="68" t="str">
        <x:v>Puntuación de la competencia</x:v>
      </x:c>
    </x:row>
    <x:row r="47" ht="27" customHeight="1">
      <x:c r="A47" s="54" t="n">
        <x:v>30</x:v>
      </x:c>
      <x:c r="B47" s="52" t="str">
        <x:v>Limpieza y preprocesado de datos</x:v>
      </x:c>
      <x:c r="C47" s="56" t="n">
        <x:v>0.05</x:v>
      </x:c>
      <x:c r="D47" s="73" t="str">
        <x:v>☐ No</x:v>
      </x:c>
      <x:c r="E47" s="58" t="n">
        <x:f>IF(D47="☑ Sí",C47*100,0)</x:f>
        <x:v>0</x:v>
      </x:c>
      <x:c r="F47" s="74" t="str"/>
    </x:row>
    <x:row r="48" ht="36" customHeight="1">
      <x:c r="A48" s="54" t="n">
        <x:v>31</x:v>
      </x:c>
      <x:c r="B48" s="52" t="str">
        <x:v>Uso de técnicas avanzadas de limpieza (valores atípicos e imputación de valores faltantes)</x:v>
      </x:c>
      <x:c r="C48" s="56" t="n">
        <x:v>0.05</x:v>
      </x:c>
      <x:c r="D48" s="73" t="str">
        <x:v>☐ No</x:v>
      </x:c>
      <x:c r="E48" s="58" t="n">
        <x:f>IF(D48="☑ Sí",C48*100,0)</x:f>
        <x:v>0</x:v>
      </x:c>
      <x:c r="F48" s="74" t="str"/>
    </x:row>
    <x:row r="49" ht="30" customHeight="1">
      <x:c r="A49" s="84" t="str">
        <x:v>TOTAL</x:v>
      </x:c>
      <x:c r="B49" s="85" t="str">
        <x:v>Puntuación final</x:v>
      </x:c>
      <x:c r="C49" s="87" t="n">
        <x:v>1</x:v>
      </x:c>
      <x:c r="D49" s="85" t="str">
        <x:v>Máximo</x:v>
      </x:c>
      <x:c r="E49" s="88" t="n">
        <x:f>B7</x:f>
        <x:v>0</x:v>
      </x:c>
      <x:c r="F49" s="86" t="str">
        <x:v>100 puntos</x:v>
      </x:c>
    </x:row>
    <x:row r="50">
      <x:c r="A50" s="2"/>
      <x:c r="B50" s="2"/>
      <x:c r="C50" s="2"/>
      <x:c r="D50" s="2"/>
      <x:c r="E50" s="2"/>
      <x:c r="F50" s="2"/>
    </x:row>
    <x:row r="51">
      <x:c r="A51" s="2"/>
      <x:c r="B51" s="2"/>
      <x:c r="C51" s="2"/>
      <x:c r="D51" s="2"/>
      <x:c r="E51" s="2"/>
      <x:c r="F51" s="2"/>
    </x:row>
    <x:row r="52" ht="90" customHeight="1">
      <x:c r="A52" s="92" t="str">
        <x:v>COMENTARIO FINAL</x:v>
      </x:c>
      <x:c r="B52" s="93" t="str">
        <x:v>¿Qué te ha parecido el proyecto? ¿En qué sobresale y qué se podría mejorar?</x:v>
      </x:c>
      <x:c r="C52" s="93" t="str"/>
      <x:c r="D52" s="93" t="str"/>
      <x:c r="E52" s="94" t="str"/>
      <x:c r="F52" s="97" t="str"/>
    </x:row>
    <x:row r="53">
      <x:c r="A53" s="2"/>
      <x:c r="B53" s="2"/>
      <x:c r="C53" s="2"/>
      <x:c r="D53" s="2"/>
      <x:c r="E53" s="2"/>
      <x:c r="F53" s="2"/>
    </x:row>
    <x:row r="54">
      <x:c r="A54" s="2"/>
      <x:c r="B54" s="2"/>
      <x:c r="C54" s="2"/>
      <x:c r="D54" s="2"/>
      <x:c r="E54" s="2"/>
      <x:c r="F54" s="2"/>
    </x:row>
    <x:row r="55">
      <x:c r="A55" s="98" t="str">
        <x:v>Fuente</x:v>
      </x:c>
      <x:c r="B55" s="99" t="str">
        <x:v>https://drive.google.com/file/d/14XqIH8CdPek557vMstIDf0_5Qy4DrV7H/view</x:v>
      </x:c>
      <x:c r="C55" s="98" t="str"/>
      <x:c r="D55" s="98" t="str"/>
      <x:c r="E55" s="98" t="str"/>
      <x:c r="F55" s="98" t="str"/>
    </x:row>
  </x:sheetData>
  <x:conditionalFormatting sqref="B12:E48">
    <x:cfRule type="expression" dxfId="0" priority="1">
      <x:formula>$D12="☑ Sí"</x:formula>
    </x:cfRule>
  </x:conditionalFormatting>
  <x:dataValidations count="31">
    <x:dataValidation type="list" sqref="D13">
      <x:formula1>"☐ No,☑ Sí"</x:formula1>
    </x:dataValidation>
    <x:dataValidation type="list" sqref="D14">
      <x:formula1>"☐ No,☑ Sí"</x:formula1>
    </x:dataValidation>
    <x:dataValidation type="list" sqref="D15">
      <x:formula1>"☐ No,☑ Sí"</x:formula1>
    </x:dataValidation>
    <x:dataValidation type="list" sqref="D16">
      <x:formula1>"☐ No,☑ Sí"</x:formula1>
    </x:dataValidation>
    <x:dataValidation type="list" sqref="D18">
      <x:formula1>"☐ No,☑ Sí"</x:formula1>
    </x:dataValidation>
    <x:dataValidation type="list" sqref="D19">
      <x:formula1>"☐ No,☑ Sí"</x:formula1>
    </x:dataValidation>
    <x:dataValidation type="list" sqref="D20">
      <x:formula1>"☐ No,☑ Sí"</x:formula1>
    </x:dataValidation>
    <x:dataValidation type="list" sqref="D21">
      <x:formula1>"☐ No,☑ Sí"</x:formula1>
    </x:dataValidation>
    <x:dataValidation type="list" sqref="D22">
      <x:formula1>"☐ No,☑ Sí"</x:formula1>
    </x:dataValidation>
    <x:dataValidation type="list" sqref="D23">
      <x:formula1>"☐ No,☑ Sí"</x:formula1>
    </x:dataValidation>
    <x:dataValidation type="list" sqref="D24">
      <x:formula1>"☐ No,☑ Sí"</x:formula1>
    </x:dataValidation>
    <x:dataValidation type="list" sqref="D25">
      <x:formula1>"☐ No,☑ Sí"</x:formula1>
    </x:dataValidation>
    <x:dataValidation type="list" sqref="D27">
      <x:formula1>"☐ No,☑ Sí"</x:formula1>
    </x:dataValidation>
    <x:dataValidation type="list" sqref="D28">
      <x:formula1>"☐ No,☑ Sí"</x:formula1>
    </x:dataValidation>
    <x:dataValidation type="list" sqref="D29">
      <x:formula1>"☐ No,☑ Sí"</x:formula1>
    </x:dataValidation>
    <x:dataValidation type="list" sqref="D30">
      <x:formula1>"☐ No,☑ Sí"</x:formula1>
    </x:dataValidation>
    <x:dataValidation type="list" sqref="D31">
      <x:formula1>"☐ No,☑ Sí"</x:formula1>
    </x:dataValidation>
    <x:dataValidation type="list" sqref="D32">
      <x:formula1>"☐ No,☑ Sí"</x:formula1>
    </x:dataValidation>
    <x:dataValidation type="list" sqref="D33">
      <x:formula1>"☐ No,☑ Sí"</x:formula1>
    </x:dataValidation>
    <x:dataValidation type="list" sqref="D34">
      <x:formula1>"☐ No,☑ Sí"</x:formula1>
    </x:dataValidation>
    <x:dataValidation type="list" sqref="D35">
      <x:formula1>"☐ No,☑ Sí"</x:formula1>
    </x:dataValidation>
    <x:dataValidation type="list" sqref="D37">
      <x:formula1>"☐ No,☑ Sí"</x:formula1>
    </x:dataValidation>
    <x:dataValidation type="list" sqref="D38">
      <x:formula1>"☐ No,☑ Sí"</x:formula1>
    </x:dataValidation>
    <x:dataValidation type="list" sqref="D39">
      <x:formula1>"☐ No,☑ Sí"</x:formula1>
    </x:dataValidation>
    <x:dataValidation type="list" sqref="D40">
      <x:formula1>"☐ No,☑ Sí"</x:formula1>
    </x:dataValidation>
    <x:dataValidation type="list" sqref="D41">
      <x:formula1>"☐ No,☑ Sí"</x:formula1>
    </x:dataValidation>
    <x:dataValidation type="list" sqref="D42">
      <x:formula1>"☐ No,☑ Sí"</x:formula1>
    </x:dataValidation>
    <x:dataValidation type="list" sqref="D44">
      <x:formula1>"☐ No,☑ Sí"</x:formula1>
    </x:dataValidation>
    <x:dataValidation type="list" sqref="D45">
      <x:formula1>"☐ No,☑ Sí"</x:formula1>
    </x:dataValidation>
    <x:dataValidation type="list" sqref="D47">
      <x:formula1>"☐ No,☑ Sí"</x:formula1>
    </x:dataValidation>
    <x:dataValidation type="list" sqref="D48">
      <x:formula1>"☐ No,☑ Sí"</x:formula1>
    </x:dataValidation>
  </x:dataValidations>
  <x:pageMargins left="0.7" right="0.7" top="0.75" bottom="0.75" header="0.3" footer="0.3"/>
</x:worksheet>
</file>